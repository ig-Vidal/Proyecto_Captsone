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s de Riesgos" sheetId="1" r:id="rId4"/>
    <sheet state="visible" name="Riesgos" sheetId="2" r:id="rId5"/>
  </sheets>
  <definedNames>
    <definedName hidden="1" localSheetId="1" name="_xlnm._FilterDatabase">Riesgos!$A$6:$O$41</definedName>
  </definedNames>
  <calcPr/>
  <extLst>
    <ext uri="GoogleSheetsCustomDataVersion2">
      <go:sheetsCustomData xmlns:go="http://customooxmlschemas.google.com/" r:id="rId6" roundtripDataChecksum="8eFmy0BGidl8Oh39fvzqvEKbpd+1LrmRc+9lMRYf708="/>
    </ext>
  </extLst>
</workbook>
</file>

<file path=xl/sharedStrings.xml><?xml version="1.0" encoding="utf-8"?>
<sst xmlns="http://schemas.openxmlformats.org/spreadsheetml/2006/main" count="237" uniqueCount="161">
  <si>
    <t>REGISTRO DE RIESGOS</t>
  </si>
  <si>
    <t>Información General del Proyecto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</si>
  <si>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ID Proyecto</t>
    </r>
  </si>
  <si>
    <t>001D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</si>
  <si>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Nombre del Proyecto</t>
    </r>
  </si>
  <si>
    <t>Software web/movil Territorial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</si>
  <si>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Director del Proyecto</t>
    </r>
  </si>
  <si>
    <t>Ignacio Vidal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</si>
  <si>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Gerente de Proyecto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</si>
  <si>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Fecha de Inicio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</si>
  <si>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Fecha de Fin 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</si>
  <si>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Cliente </t>
    </r>
  </si>
  <si>
    <t>Jorge Alberto Castro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</si>
  <si>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Área:</t>
    </r>
  </si>
  <si>
    <t>Ingeniería en Informatica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</si>
  <si>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Sponsor</t>
    </r>
  </si>
  <si>
    <t>Duoc Uc</t>
  </si>
  <si>
    <t>REFERENCIAS del PLAN DE GESTIÓN DE RIESGOS</t>
  </si>
  <si>
    <t>Impacto</t>
  </si>
  <si>
    <t>Nivel de Probabilidad</t>
  </si>
  <si>
    <t>Valores Probabilidad</t>
  </si>
  <si>
    <t>Comentario</t>
  </si>
  <si>
    <t>Bajo</t>
  </si>
  <si>
    <t>Medio</t>
  </si>
  <si>
    <t>Alto</t>
  </si>
  <si>
    <t>Baja</t>
  </si>
  <si>
    <t>Podría ocurrir</t>
  </si>
  <si>
    <t>Media</t>
  </si>
  <si>
    <t>Es bastante probable</t>
  </si>
  <si>
    <t>Probabilidad</t>
  </si>
  <si>
    <t>Alta</t>
  </si>
  <si>
    <t>Es casi seguro</t>
  </si>
  <si>
    <t>Nivel Impacto</t>
  </si>
  <si>
    <t>Valores de Impacto</t>
  </si>
  <si>
    <t>Atraso menor a un 20%</t>
  </si>
  <si>
    <t>Atraso entre 20% y 50%</t>
  </si>
  <si>
    <t>Proyecto fracasa o atraso de más de 100%</t>
  </si>
  <si>
    <t>ID del Proyecto</t>
  </si>
  <si>
    <t>Fecha: 14-01-2026</t>
  </si>
  <si>
    <t>Nombre del Proyecto</t>
  </si>
  <si>
    <t>Director de Proyecto</t>
  </si>
  <si>
    <t>Registro y Seguimiento de Riesgos</t>
  </si>
  <si>
    <t>Fecha 
Identificación</t>
  </si>
  <si>
    <t>Nro.</t>
  </si>
  <si>
    <t>Riesgo/Evento de Riesgo</t>
  </si>
  <si>
    <t>Categoría</t>
  </si>
  <si>
    <t>Fuente/Causa/
Condición</t>
  </si>
  <si>
    <t>Impacta a/ Consecuencias
Objetivos Proyecto</t>
  </si>
  <si>
    <t>Descripción y Comentarios</t>
  </si>
  <si>
    <t>Valor de Probabilidad</t>
  </si>
  <si>
    <t>Valor Impacto</t>
  </si>
  <si>
    <t>Magnitud</t>
  </si>
  <si>
    <t>Asignado a (Responsable)</t>
  </si>
  <si>
    <t>Cuando 
Fecha estimada de ocurrencia (estación de mes)</t>
  </si>
  <si>
    <t>combo_estado</t>
  </si>
  <si>
    <t>combo_probabilidad</t>
  </si>
  <si>
    <t>ponderacion_combo_probabilidad</t>
  </si>
  <si>
    <t>combo_impacto</t>
  </si>
  <si>
    <t>ponderacion_combo_impacto</t>
  </si>
  <si>
    <t>RKG-01</t>
  </si>
  <si>
    <t>Suspensión/limitación de WhatsApp Business API</t>
  </si>
  <si>
    <t>Externo/Integración</t>
  </si>
  <si>
    <t>Incumplimiento de políticas o sobrecupo de plantillas/rate-limit.</t>
  </si>
  <si>
    <t>Notificaciones no entregadas; afecta comunicación con vecinos.</t>
  </si>
  <si>
    <t>Riesgo de dependencia fuerte en canal WhatsApp; sin plan B.</t>
  </si>
  <si>
    <t>Operación continua</t>
  </si>
  <si>
    <t>Identificado</t>
  </si>
  <si>
    <t>RKG-02</t>
  </si>
  <si>
    <t>Chatbot IA entrega respuestas incorrectas o expone datos</t>
  </si>
  <si>
    <t>IA/Seguridad</t>
  </si>
  <si>
    <t>Prompting inadecuado, falta de guardrails, acceso a datos sensibles.</t>
  </si>
  <si>
    <t>Desinformación, pérdida de confianza, potencial fuga de información.</t>
  </si>
  <si>
    <t>Necesario limitar ámbitos y aplicar controles de acceso/mascaramiento.</t>
  </si>
  <si>
    <t>Puesta en marcha y operación</t>
  </si>
  <si>
    <t>RKG-03</t>
  </si>
  <si>
    <t>OCR con baja precisión</t>
  </si>
  <si>
    <t>Datos/Calidad</t>
  </si>
  <si>
    <t>Imágenes borrosas, fotos desde celular, formatos no estandarizados.</t>
  </si>
  <si>
    <t>Errores en montos/datos; retrabajo y demoras de validación.</t>
  </si>
  <si>
    <t>Definir formatos aceptados, preprocesamiento y validación humana.</t>
  </si>
  <si>
    <t>Durante recepción de documentos</t>
  </si>
  <si>
    <t>RKG-04</t>
  </si>
  <si>
    <t>Falla en validación QR/firma digital</t>
  </si>
  <si>
    <t>Seguridad/Técnico</t>
  </si>
  <si>
    <t>Expiración de certificado, servicio de verificación caído.</t>
  </si>
  <si>
    <t>Imposibilidad de verificar certificados emitidos; rechazo por terceros.</t>
  </si>
  <si>
    <t>Monitoreo de certificados, renovación programada, validador alterno offline.</t>
  </si>
  <si>
    <t>RKG-05</t>
  </si>
  <si>
    <t>Incumplimiento de privacidad de datos</t>
  </si>
  <si>
    <t>Legal/Cumplimiento</t>
  </si>
  <si>
    <t>Permisos mal configurados, fuga por uso indebido o phising.</t>
  </si>
  <si>
    <t>Sanciones, daño reputacional, obligación de notificación.</t>
  </si>
  <si>
    <t>RBAC + 2FA, cifrado, minimización de datos, auditoría y registros.</t>
  </si>
  <si>
    <t>Transferido</t>
  </si>
  <si>
    <t>RKG-06</t>
  </si>
  <si>
    <t>Disponibilidad &lt; 99,5%</t>
  </si>
  <si>
    <t>Infraestructura</t>
  </si>
  <si>
    <t>Caídas del hosting o errores de despliegue.</t>
  </si>
  <si>
    <t>Interrupción de servicios críticos (certificados, reservas, avisos).</t>
  </si>
  <si>
    <t>Monitoreo, escalado automático, redundancia y ventanas programadas.</t>
  </si>
  <si>
    <t>Eliminado</t>
  </si>
  <si>
    <t>RKG-07</t>
  </si>
  <si>
    <t>Fallo de respaldo o restauración</t>
  </si>
  <si>
    <t>Resiliencia</t>
  </si>
  <si>
    <t>Backups no verificados; restauraciones no probadas.</t>
  </si>
  <si>
    <t>Pérdida de datos o RTO/RPO incumplidos.</t>
  </si>
  <si>
    <t>Backups diarios, retención 30d, pruebas de restore trimestrales.</t>
  </si>
  <si>
    <t>RKG-08</t>
  </si>
  <si>
    <t>Demora del Directorio en aprobar certificados</t>
  </si>
  <si>
    <t>Proceso</t>
  </si>
  <si>
    <t>Carga de trabajo, ausencias o falta de suplencia.</t>
  </si>
  <si>
    <t>SLA incumplido; vecinos insatisfechos.</t>
  </si>
  <si>
    <t>Recordatorios automáticos, roles suplentes, métricas de backlog.</t>
  </si>
  <si>
    <t>dias de alta demanda</t>
  </si>
  <si>
    <t>RKG-09</t>
  </si>
  <si>
    <t>Conflictos/doble reserva de espacios</t>
  </si>
  <si>
    <t>Proceso/Datos</t>
  </si>
  <si>
    <t>Fallas de concurrencia o reglas de negocio ambiguas.</t>
  </si>
  <si>
    <t>Vecinos afectados, reclamos y replanificación.</t>
  </si>
  <si>
    <t>Bloqueo transaccional, validaciones, visibilidad de agenda y política de resolución.</t>
  </si>
  <si>
    <t>Verano/fines de semana</t>
  </si>
  <si>
    <t>RKG-10</t>
  </si>
  <si>
    <t>Acceso no autorizado por configuración RBAC</t>
  </si>
  <si>
    <t>Seguridad</t>
  </si>
  <si>
    <t>Permisos excesivos o roles mal asignados.</t>
  </si>
  <si>
    <t>Exposición de datos, acciones indebidas.</t>
  </si>
  <si>
    <t>Principio de mínimo privilegio, pruebas de roles, revisiones periódicas.</t>
  </si>
  <si>
    <t>Antes de producción y trimestral</t>
  </si>
  <si>
    <t>RKG-11</t>
  </si>
  <si>
    <t>Auditoría incompleta o deshabilitada</t>
  </si>
  <si>
    <t>Cumplimiento</t>
  </si>
  <si>
    <t>Logs no persistentes/inmutables; falta de retención.</t>
  </si>
  <si>
    <t>Falta de trazabilidad ante incidentes y decisiones.</t>
  </si>
  <si>
    <t>Logs centralizados, inmutabilidad (WORM), retención ≥12 meses.</t>
  </si>
  <si>
    <t>RKG-12</t>
  </si>
  <si>
    <t>Aumento de alcance (scope creep)</t>
  </si>
  <si>
    <t>Gestión</t>
  </si>
  <si>
    <t>Ingresan funcionalidades fuera del alcance aprobado.</t>
  </si>
  <si>
    <t>Retraso de entregables, sobrecosto.</t>
  </si>
  <si>
    <t>Procedimiento de control de cambios y priorización MoSCoW.</t>
  </si>
  <si>
    <t>Todo el ciclo</t>
  </si>
  <si>
    <t>RKG-13</t>
  </si>
  <si>
    <t>Baja adopción por parte de vecinos</t>
  </si>
  <si>
    <t>Stakeholders/UX</t>
  </si>
  <si>
    <t>Falta de difusión/capacitación o barreras de acceso digital.</t>
  </si>
  <si>
    <t>Bajo uso del sistema y de funciones clave (certificados, reservas).</t>
  </si>
  <si>
    <t>Campañas, tutoriales, soporte, accesibilidad WCAG 2.1 AA.</t>
  </si>
  <si>
    <t>Primeros 5 dias</t>
  </si>
  <si>
    <t>RKG-14</t>
  </si>
  <si>
    <t>Datos incorrectos en registro (RUN/dirección)</t>
  </si>
  <si>
    <t>Digitación incorrecta o falta de validación.</t>
  </si>
  <si>
    <t>Errores en certificados o comunicaciones.</t>
  </si>
  <si>
    <t>Validación de RUN con dígito verificador y comprobantes de domicilio.</t>
  </si>
  <si>
    <t>Durante registro</t>
  </si>
  <si>
    <t>RKG-15</t>
  </si>
  <si>
    <t>Confusión entre ambientes (dev/test/prod)</t>
  </si>
  <si>
    <t>DevOps</t>
  </si>
  <si>
    <t>Variables mal configuradas o secretos compartidos.</t>
  </si>
  <si>
    <t>Datos reales en ambientes de prueba o interrupciones de prod.</t>
  </si>
  <si>
    <t>CI/CD con entornos aislados, gestión de secretos y aprobaciones.</t>
  </si>
  <si>
    <t>En despliegues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</si>
</sst>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"/>
    <numFmt numFmtId="166" formatCode="d/m/yyyy"/>
  </numFmts>
  <fonts count="15">
    <font>
      <sz val="10.0"/>
      <color rgb="FF000000"/>
      <name val="Arial"/>
      <scheme val="minor"/>
    </font>
    <font>
      <sz val="10.0"/>
      <color theme="1"/>
      <name val="Century Gothic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0.0"/>
      <color theme="1"/>
      <name val="Arial"/>
    </font>
    <font>
      <b/>
      <sz val="10.0"/>
      <color theme="1"/>
      <name val="Century Gothic"/>
    </font>
    <font>
      <b/>
      <sz val="10.0"/>
      <color theme="1"/>
      <name val="Arial"/>
    </font>
    <font>
      <sz val="10.0"/>
      <color rgb="FFFFFFFF"/>
      <name val="Arial"/>
    </font>
    <font>
      <b/>
      <sz val="18.0"/>
      <color theme="1"/>
      <name val="Century Gothic"/>
    </font>
    <font>
      <sz val="12.0"/>
      <color theme="1"/>
      <name val="Calibri"/>
    </font>
    <font>
      <sz val="11.0"/>
      <color theme="1"/>
      <name val="Arial"/>
    </font>
    <font>
      <sz val="9.0"/>
      <color theme="1"/>
      <name val="Calibri"/>
    </font>
    <font>
      <sz val="9.0"/>
      <color rgb="FF000000"/>
      <name val="Calibri"/>
    </font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</fills>
  <borders count="4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2" fillId="3" fontId="4" numFmtId="0" xfId="0" applyAlignment="1" applyBorder="1" applyFill="1" applyFont="1">
      <alignment horizontal="left"/>
    </xf>
    <xf borderId="7" fillId="4" fontId="5" numFmtId="0" xfId="0" applyAlignment="1" applyBorder="1" applyFill="1" applyFont="1">
      <alignment horizontal="left"/>
    </xf>
    <xf borderId="8" fillId="0" fontId="2" numFmtId="0" xfId="0" applyBorder="1" applyFont="1"/>
    <xf borderId="9" fillId="0" fontId="2" numFmtId="0" xfId="0" applyBorder="1" applyFont="1"/>
    <xf borderId="10" fillId="5" fontId="1" numFmtId="0" xfId="0" applyAlignment="1" applyBorder="1" applyFill="1" applyFont="1">
      <alignment horizontal="center" shrinkToFit="0" vertical="center" wrapText="1"/>
    </xf>
    <xf borderId="11" fillId="5" fontId="5" numFmtId="0" xfId="0" applyAlignment="1" applyBorder="1" applyFont="1">
      <alignment horizontal="right"/>
    </xf>
    <xf borderId="12" fillId="5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shrinkToFit="0" vertical="center" wrapText="1"/>
    </xf>
    <xf borderId="13" fillId="4" fontId="5" numFmtId="0" xfId="0" applyAlignment="1" applyBorder="1" applyFont="1">
      <alignment horizontal="left"/>
    </xf>
    <xf borderId="11" fillId="4" fontId="5" numFmtId="0" xfId="0" applyAlignment="1" applyBorder="1" applyFont="1">
      <alignment horizontal="left"/>
    </xf>
    <xf borderId="14" fillId="4" fontId="5" numFmtId="0" xfId="0" applyAlignment="1" applyBorder="1" applyFont="1">
      <alignment horizontal="left"/>
    </xf>
    <xf borderId="10" fillId="2" fontId="1" numFmtId="0" xfId="0" applyAlignment="1" applyBorder="1" applyFont="1">
      <alignment horizontal="center" readingOrder="0" shrinkToFit="0" vertical="center" wrapText="1"/>
    </xf>
    <xf borderId="15" fillId="0" fontId="2" numFmtId="0" xfId="0" applyBorder="1" applyFont="1"/>
    <xf borderId="16" fillId="2" fontId="5" numFmtId="164" xfId="0" applyAlignment="1" applyBorder="1" applyFont="1" applyNumberFormat="1">
      <alignment horizontal="center" readingOrder="0"/>
    </xf>
    <xf borderId="14" fillId="5" fontId="5" numFmtId="0" xfId="0" applyAlignment="1" applyBorder="1" applyFont="1">
      <alignment horizontal="right"/>
    </xf>
    <xf borderId="17" fillId="4" fontId="5" numFmtId="0" xfId="0" applyAlignment="1" applyBorder="1" applyFont="1">
      <alignment horizontal="right"/>
    </xf>
    <xf borderId="18" fillId="2" fontId="1" numFmtId="0" xfId="0" applyAlignment="1" applyBorder="1" applyFont="1">
      <alignment shrinkToFit="0" vertical="center" wrapText="1"/>
    </xf>
    <xf borderId="19" fillId="4" fontId="5" numFmtId="0" xfId="0" applyAlignment="1" applyBorder="1" applyFont="1">
      <alignment horizontal="left"/>
    </xf>
    <xf borderId="20" fillId="0" fontId="2" numFmtId="0" xfId="0" applyBorder="1" applyFont="1"/>
    <xf borderId="21" fillId="0" fontId="2" numFmtId="0" xfId="0" applyBorder="1" applyFont="1"/>
    <xf borderId="22" fillId="2" fontId="1" numFmtId="0" xfId="0" applyAlignment="1" applyBorder="1" applyFont="1">
      <alignment horizontal="center" shrinkToFit="0" vertical="center" wrapText="1"/>
    </xf>
    <xf borderId="23" fillId="2" fontId="5" numFmtId="0" xfId="0" applyAlignment="1" applyBorder="1" applyFont="1">
      <alignment horizontal="center"/>
    </xf>
    <xf borderId="24" fillId="2" fontId="1" numFmtId="0" xfId="0" applyAlignment="1" applyBorder="1" applyFont="1">
      <alignment shrinkToFit="0" vertical="center" wrapText="1"/>
    </xf>
    <xf borderId="25" fillId="3" fontId="6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28" fillId="2" fontId="1" numFmtId="0" xfId="0" applyAlignment="1" applyBorder="1" applyFont="1">
      <alignment shrinkToFit="0" vertical="center" wrapText="1"/>
    </xf>
    <xf borderId="29" fillId="2" fontId="1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shrinkToFit="0" vertical="center" wrapText="1"/>
    </xf>
    <xf borderId="10" fillId="4" fontId="7" numFmtId="0" xfId="0" applyAlignment="1" applyBorder="1" applyFont="1">
      <alignment horizontal="center" shrinkToFit="0" vertical="center" wrapText="1"/>
    </xf>
    <xf borderId="30" fillId="4" fontId="7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shrinkToFit="0" vertical="center" wrapText="1"/>
    </xf>
    <xf borderId="18" fillId="4" fontId="7" numFmtId="0" xfId="0" applyAlignment="1" applyBorder="1" applyFont="1">
      <alignment horizontal="center" shrinkToFit="0" vertical="center" wrapText="1"/>
    </xf>
    <xf borderId="30" fillId="4" fontId="5" numFmtId="0" xfId="0" applyAlignment="1" applyBorder="1" applyFont="1">
      <alignment horizontal="center" shrinkToFit="0" vertical="center" wrapText="1"/>
    </xf>
    <xf borderId="30" fillId="6" fontId="8" numFmtId="0" xfId="0" applyAlignment="1" applyBorder="1" applyFill="1" applyFont="1">
      <alignment horizontal="center" shrinkToFit="0" vertical="center" wrapText="1"/>
    </xf>
    <xf borderId="18" fillId="6" fontId="8" numFmtId="0" xfId="0" applyAlignment="1" applyBorder="1" applyFont="1">
      <alignment shrinkToFit="0" vertical="center" wrapText="1"/>
    </xf>
    <xf borderId="30" fillId="7" fontId="5" numFmtId="0" xfId="0" applyAlignment="1" applyBorder="1" applyFill="1" applyFont="1">
      <alignment horizontal="center" shrinkToFit="0" vertical="center" wrapText="1"/>
    </xf>
    <xf borderId="17" fillId="7" fontId="5" numFmtId="0" xfId="0" applyAlignment="1" applyBorder="1" applyFont="1">
      <alignment horizontal="center" shrinkToFit="0" vertical="center" wrapText="1"/>
    </xf>
    <xf borderId="18" fillId="7" fontId="5" numFmtId="0" xfId="0" applyAlignment="1" applyBorder="1" applyFont="1">
      <alignment shrinkToFit="0" vertical="center" wrapText="1"/>
    </xf>
    <xf borderId="31" fillId="4" fontId="7" numFmtId="0" xfId="0" applyAlignment="1" applyBorder="1" applyFont="1">
      <alignment horizontal="center" shrinkToFit="0" textRotation="90" vertical="center" wrapText="1"/>
    </xf>
    <xf borderId="30" fillId="8" fontId="8" numFmtId="0" xfId="0" applyAlignment="1" applyBorder="1" applyFill="1" applyFont="1">
      <alignment horizontal="center" shrinkToFit="0" vertical="center" wrapText="1"/>
    </xf>
    <xf borderId="17" fillId="8" fontId="8" numFmtId="0" xfId="0" applyAlignment="1" applyBorder="1" applyFont="1">
      <alignment horizontal="center" shrinkToFit="0" vertical="center" wrapText="1"/>
    </xf>
    <xf borderId="18" fillId="8" fontId="8" numFmtId="0" xfId="0" applyAlignment="1" applyBorder="1" applyFont="1">
      <alignment shrinkToFit="0" vertical="center" wrapText="1"/>
    </xf>
    <xf borderId="32" fillId="0" fontId="2" numFmtId="0" xfId="0" applyBorder="1" applyFont="1"/>
    <xf borderId="29" fillId="2" fontId="5" numFmtId="0" xfId="0" applyAlignment="1" applyBorder="1" applyFont="1">
      <alignment shrinkToFit="0" vertical="center" wrapText="1"/>
    </xf>
    <xf borderId="33" fillId="0" fontId="2" numFmtId="0" xfId="0" applyBorder="1" applyFont="1"/>
    <xf borderId="18" fillId="6" fontId="8" numFmtId="0" xfId="0" applyAlignment="1" applyBorder="1" applyFont="1">
      <alignment horizontal="left" shrinkToFit="0" vertical="top" wrapText="1"/>
    </xf>
    <xf borderId="18" fillId="7" fontId="5" numFmtId="0" xfId="0" applyAlignment="1" applyBorder="1" applyFont="1">
      <alignment horizontal="left" shrinkToFit="0" vertical="top" wrapText="1"/>
    </xf>
    <xf borderId="18" fillId="8" fontId="8" numFmtId="0" xfId="0" applyAlignment="1" applyBorder="1" applyFont="1">
      <alignment horizontal="left" shrinkToFit="0" vertical="top" wrapText="1"/>
    </xf>
    <xf borderId="34" fillId="2" fontId="1" numFmtId="0" xfId="0" applyAlignment="1" applyBorder="1" applyFont="1">
      <alignment shrinkToFit="0" vertical="center" wrapText="1"/>
    </xf>
    <xf borderId="35" fillId="2" fontId="1" numFmtId="0" xfId="0" applyAlignment="1" applyBorder="1" applyFont="1">
      <alignment shrinkToFit="0" vertical="center" wrapText="1"/>
    </xf>
    <xf borderId="35" fillId="2" fontId="5" numFmtId="0" xfId="0" applyAlignment="1" applyBorder="1" applyFont="1">
      <alignment shrinkToFit="0" vertical="center" wrapText="1"/>
    </xf>
    <xf borderId="36" fillId="2" fontId="1" numFmtId="0" xfId="0" applyAlignment="1" applyBorder="1" applyFont="1">
      <alignment shrinkToFit="0" vertical="center" wrapText="1"/>
    </xf>
    <xf borderId="37" fillId="0" fontId="5" numFmtId="0" xfId="0" applyBorder="1" applyFont="1"/>
    <xf borderId="38" fillId="0" fontId="5" numFmtId="0" xfId="0" applyBorder="1" applyFont="1"/>
    <xf borderId="38" fillId="0" fontId="5" numFmtId="0" xfId="0" applyAlignment="1" applyBorder="1" applyFont="1">
      <alignment readingOrder="0"/>
    </xf>
    <xf borderId="39" fillId="0" fontId="5" numFmtId="0" xfId="0" applyBorder="1" applyFont="1"/>
    <xf borderId="40" fillId="0" fontId="5" numFmtId="0" xfId="0" applyBorder="1" applyFont="1"/>
    <xf borderId="41" fillId="0" fontId="5" numFmtId="0" xfId="0" applyBorder="1" applyFont="1"/>
    <xf borderId="41" fillId="0" fontId="5" numFmtId="0" xfId="0" applyAlignment="1" applyBorder="1" applyFont="1">
      <alignment readingOrder="0"/>
    </xf>
    <xf borderId="42" fillId="0" fontId="5" numFmtId="0" xfId="0" applyBorder="1" applyFont="1"/>
    <xf borderId="1" fillId="2" fontId="9" numFmtId="0" xfId="0" applyAlignment="1" applyBorder="1" applyFont="1">
      <alignment vertical="center"/>
    </xf>
    <xf borderId="43" fillId="4" fontId="10" numFmtId="0" xfId="0" applyAlignment="1" applyBorder="1" applyFont="1">
      <alignment horizontal="center" shrinkToFit="0" vertical="center" wrapText="1"/>
    </xf>
    <xf borderId="43" fillId="4" fontId="10" numFmtId="0" xfId="0" applyAlignment="1" applyBorder="1" applyFont="1">
      <alignment horizontal="center" readingOrder="0" shrinkToFit="0" vertical="center" wrapText="1"/>
    </xf>
    <xf borderId="30" fillId="9" fontId="10" numFmtId="0" xfId="0" applyAlignment="1" applyBorder="1" applyFill="1" applyFont="1">
      <alignment horizontal="center" shrinkToFit="0" vertical="center" wrapText="1"/>
    </xf>
    <xf borderId="0" fillId="0" fontId="11" numFmtId="165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14" fillId="2" fontId="10" numFmtId="0" xfId="0" applyAlignment="1" applyBorder="1" applyFont="1">
      <alignment horizontal="center" shrinkToFit="0" vertical="center" wrapText="1"/>
    </xf>
    <xf borderId="30" fillId="2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13" numFmtId="166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4" numFmtId="0" xfId="0" applyFont="1"/>
    <xf borderId="1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339966"/>
          <bgColor rgb="FF339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0.88"/>
    <col customWidth="1" min="3" max="3" width="3.63"/>
    <col customWidth="1" min="4" max="4" width="6.88"/>
    <col customWidth="1" min="5" max="5" width="5.13"/>
    <col customWidth="1" min="6" max="6" width="7.63"/>
    <col customWidth="1" min="7" max="7" width="8.38"/>
    <col customWidth="1" min="8" max="8" width="6.63"/>
    <col customWidth="1" min="9" max="9" width="2.13"/>
    <col customWidth="1" min="10" max="10" width="14.13"/>
    <col customWidth="1" min="11" max="11" width="13.13"/>
    <col customWidth="1" min="12" max="12" width="38.0"/>
    <col customWidth="1" min="13" max="26" width="11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0.0" customHeight="1">
      <c r="A2" s="1"/>
      <c r="B2" s="2"/>
      <c r="C2" s="3"/>
      <c r="D2" s="3"/>
      <c r="E2" s="3"/>
      <c r="F2" s="3"/>
      <c r="G2" s="4"/>
      <c r="H2" s="5" t="s">
        <v>0</v>
      </c>
      <c r="I2" s="3"/>
      <c r="J2" s="3"/>
      <c r="K2" s="3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7" t="s">
        <v>1</v>
      </c>
      <c r="D5" s="3"/>
      <c r="E5" s="3"/>
      <c r="F5" s="3"/>
      <c r="G5" s="3"/>
      <c r="H5" s="3"/>
      <c r="I5" s="3"/>
      <c r="J5" s="3"/>
      <c r="K5" s="3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8" t="s">
        <v>2</v>
      </c>
      <c r="D6" s="9"/>
      <c r="E6" s="9"/>
      <c r="F6" s="10"/>
      <c r="G6" s="11" t="s">
        <v>3</v>
      </c>
      <c r="H6" s="9"/>
      <c r="I6" s="9"/>
      <c r="J6" s="12"/>
      <c r="K6" s="12"/>
      <c r="L6" s="1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8" t="s">
        <v>4</v>
      </c>
      <c r="D7" s="9"/>
      <c r="E7" s="9"/>
      <c r="F7" s="10"/>
      <c r="G7" s="14" t="s">
        <v>5</v>
      </c>
      <c r="H7" s="9"/>
      <c r="I7" s="9"/>
      <c r="J7" s="9"/>
      <c r="K7" s="9"/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6" t="s">
        <v>6</v>
      </c>
      <c r="D8" s="17"/>
      <c r="E8" s="17"/>
      <c r="F8" s="18"/>
      <c r="G8" s="19" t="s">
        <v>7</v>
      </c>
      <c r="H8" s="9"/>
      <c r="I8" s="9"/>
      <c r="J8" s="9"/>
      <c r="K8" s="9"/>
      <c r="L8" s="2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6" t="s">
        <v>8</v>
      </c>
      <c r="D9" s="17"/>
      <c r="E9" s="17"/>
      <c r="F9" s="18"/>
      <c r="G9" s="19" t="s">
        <v>7</v>
      </c>
      <c r="H9" s="9"/>
      <c r="I9" s="9"/>
      <c r="J9" s="9"/>
      <c r="K9" s="9"/>
      <c r="L9" s="2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8" t="s">
        <v>9</v>
      </c>
      <c r="D10" s="9"/>
      <c r="E10" s="9"/>
      <c r="F10" s="10"/>
      <c r="G10" s="14"/>
      <c r="H10" s="9"/>
      <c r="I10" s="9"/>
      <c r="J10" s="21">
        <v>46034.0</v>
      </c>
      <c r="K10" s="9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8" t="s">
        <v>10</v>
      </c>
      <c r="D11" s="9"/>
      <c r="E11" s="9"/>
      <c r="F11" s="10"/>
      <c r="G11" s="14"/>
      <c r="H11" s="9"/>
      <c r="I11" s="9"/>
      <c r="J11" s="21">
        <v>46058.0</v>
      </c>
      <c r="K11" s="9"/>
      <c r="L11" s="1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8" t="s">
        <v>11</v>
      </c>
      <c r="D12" s="9"/>
      <c r="E12" s="9"/>
      <c r="F12" s="10"/>
      <c r="G12" s="19" t="s">
        <v>12</v>
      </c>
      <c r="H12" s="9"/>
      <c r="I12" s="9"/>
      <c r="J12" s="22"/>
      <c r="K12" s="23" t="s">
        <v>13</v>
      </c>
      <c r="L12" s="24" t="s">
        <v>14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25" t="s">
        <v>15</v>
      </c>
      <c r="D13" s="26"/>
      <c r="E13" s="26"/>
      <c r="F13" s="27"/>
      <c r="G13" s="28" t="s">
        <v>16</v>
      </c>
      <c r="H13" s="26"/>
      <c r="I13" s="26"/>
      <c r="J13" s="29"/>
      <c r="K13" s="26"/>
      <c r="L13" s="3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34"/>
      <c r="C18" s="1"/>
      <c r="D18" s="1"/>
      <c r="E18" s="1"/>
      <c r="F18" s="1"/>
      <c r="G18" s="1"/>
      <c r="H18" s="1"/>
      <c r="I18" s="1"/>
      <c r="J18" s="1"/>
      <c r="K18" s="1"/>
      <c r="L18" s="3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3.75" customHeight="1">
      <c r="A19" s="1"/>
      <c r="B19" s="34"/>
      <c r="C19" s="36"/>
      <c r="D19" s="36"/>
      <c r="E19" s="36"/>
      <c r="F19" s="37" t="s">
        <v>18</v>
      </c>
      <c r="G19" s="9"/>
      <c r="H19" s="10"/>
      <c r="I19" s="36"/>
      <c r="J19" s="38" t="s">
        <v>19</v>
      </c>
      <c r="K19" s="39" t="s">
        <v>20</v>
      </c>
      <c r="L19" s="40" t="s">
        <v>21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34"/>
      <c r="C20" s="36"/>
      <c r="D20" s="36"/>
      <c r="E20" s="36"/>
      <c r="F20" s="41" t="s">
        <v>22</v>
      </c>
      <c r="G20" s="41" t="s">
        <v>23</v>
      </c>
      <c r="H20" s="41" t="s">
        <v>24</v>
      </c>
      <c r="I20" s="36"/>
      <c r="J20" s="42" t="s">
        <v>25</v>
      </c>
      <c r="K20" s="42">
        <v>1.0</v>
      </c>
      <c r="L20" s="43" t="s">
        <v>26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34"/>
      <c r="C21" s="36"/>
      <c r="D21" s="36"/>
      <c r="E21" s="36"/>
      <c r="F21" s="41">
        <v>1.0</v>
      </c>
      <c r="G21" s="41">
        <v>2.0</v>
      </c>
      <c r="H21" s="41">
        <v>3.0</v>
      </c>
      <c r="I21" s="36"/>
      <c r="J21" s="44" t="s">
        <v>27</v>
      </c>
      <c r="K21" s="45">
        <v>2.0</v>
      </c>
      <c r="L21" s="46" t="s">
        <v>28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34"/>
      <c r="C22" s="47" t="s">
        <v>29</v>
      </c>
      <c r="D22" s="41" t="s">
        <v>25</v>
      </c>
      <c r="E22" s="41">
        <v>1.0</v>
      </c>
      <c r="F22" s="42">
        <f>E22*F21</f>
        <v>1</v>
      </c>
      <c r="G22" s="42">
        <f>E22*G21</f>
        <v>2</v>
      </c>
      <c r="H22" s="44">
        <f>E22*H21</f>
        <v>3</v>
      </c>
      <c r="I22" s="36"/>
      <c r="J22" s="48" t="s">
        <v>30</v>
      </c>
      <c r="K22" s="49">
        <v>3.0</v>
      </c>
      <c r="L22" s="50" t="s">
        <v>31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34"/>
      <c r="C23" s="51"/>
      <c r="D23" s="41" t="s">
        <v>27</v>
      </c>
      <c r="E23" s="41">
        <v>2.0</v>
      </c>
      <c r="F23" s="42">
        <f>E23*F21</f>
        <v>2</v>
      </c>
      <c r="G23" s="44">
        <f>E23*G21</f>
        <v>4</v>
      </c>
      <c r="H23" s="48">
        <f>E23*H21</f>
        <v>6</v>
      </c>
      <c r="I23" s="36"/>
      <c r="J23" s="36"/>
      <c r="K23" s="36"/>
      <c r="L23" s="5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34"/>
      <c r="C24" s="53"/>
      <c r="D24" s="41" t="s">
        <v>30</v>
      </c>
      <c r="E24" s="41">
        <v>3.0</v>
      </c>
      <c r="F24" s="44">
        <f>E24*F21</f>
        <v>3</v>
      </c>
      <c r="G24" s="48">
        <f>E24*G21</f>
        <v>6</v>
      </c>
      <c r="H24" s="48">
        <f>E24*H21</f>
        <v>9</v>
      </c>
      <c r="I24" s="36"/>
      <c r="J24" s="38" t="s">
        <v>32</v>
      </c>
      <c r="K24" s="39" t="s">
        <v>33</v>
      </c>
      <c r="L24" s="40" t="s"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34"/>
      <c r="C25" s="36"/>
      <c r="D25" s="36"/>
      <c r="E25" s="36"/>
      <c r="F25" s="36"/>
      <c r="G25" s="36"/>
      <c r="H25" s="36"/>
      <c r="I25" s="36"/>
      <c r="J25" s="42" t="s">
        <v>22</v>
      </c>
      <c r="K25" s="42">
        <v>1.0</v>
      </c>
      <c r="L25" s="54" t="s">
        <v>34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34"/>
      <c r="C26" s="1"/>
      <c r="D26" s="36"/>
      <c r="E26" s="36"/>
      <c r="F26" s="1"/>
      <c r="G26" s="1"/>
      <c r="H26" s="36"/>
      <c r="I26" s="1"/>
      <c r="J26" s="44" t="s">
        <v>23</v>
      </c>
      <c r="K26" s="45">
        <v>2.0</v>
      </c>
      <c r="L26" s="55" t="s">
        <v>35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34"/>
      <c r="C27" s="1"/>
      <c r="D27" s="36"/>
      <c r="E27" s="36"/>
      <c r="F27" s="1"/>
      <c r="G27" s="1"/>
      <c r="H27" s="1"/>
      <c r="I27" s="1"/>
      <c r="J27" s="48" t="s">
        <v>24</v>
      </c>
      <c r="K27" s="49">
        <v>3.0</v>
      </c>
      <c r="L27" s="56" t="s">
        <v>36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9.75" customHeight="1">
      <c r="A28" s="1"/>
      <c r="B28" s="57"/>
      <c r="C28" s="58"/>
      <c r="D28" s="59"/>
      <c r="E28" s="59"/>
      <c r="F28" s="58"/>
      <c r="G28" s="58"/>
      <c r="H28" s="58"/>
      <c r="I28" s="58"/>
      <c r="J28" s="58"/>
      <c r="K28" s="58"/>
      <c r="L28" s="6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36"/>
      <c r="E29" s="3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36"/>
      <c r="E30" s="3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2:G2"/>
    <mergeCell ref="H2:L2"/>
    <mergeCell ref="C5:L5"/>
    <mergeCell ref="C6:F6"/>
    <mergeCell ref="G6:I6"/>
    <mergeCell ref="C7:F7"/>
    <mergeCell ref="G7:K7"/>
    <mergeCell ref="G8:L8"/>
    <mergeCell ref="G9:L9"/>
    <mergeCell ref="C10:F10"/>
    <mergeCell ref="G10:I10"/>
    <mergeCell ref="J10:K10"/>
    <mergeCell ref="G11:I11"/>
    <mergeCell ref="J11:K11"/>
    <mergeCell ref="F19:H19"/>
    <mergeCell ref="C22:C24"/>
    <mergeCell ref="C11:F11"/>
    <mergeCell ref="C12:F12"/>
    <mergeCell ref="G12:I12"/>
    <mergeCell ref="C13:F13"/>
    <mergeCell ref="G13:I13"/>
    <mergeCell ref="J13:K13"/>
    <mergeCell ref="B17:L17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9.25"/>
    <col customWidth="1" min="3" max="3" width="55.88"/>
    <col customWidth="1" min="4" max="4" width="24.75"/>
    <col customWidth="1" min="5" max="5" width="67.13"/>
    <col customWidth="1" min="6" max="6" width="66.63"/>
    <col customWidth="1" min="7" max="7" width="79.25"/>
    <col customWidth="1" min="8" max="8" width="56.0"/>
    <col customWidth="1" min="9" max="9" width="23.25"/>
    <col customWidth="1" min="10" max="10" width="14.25"/>
    <col customWidth="1" min="11" max="11" width="21.0"/>
    <col customWidth="1" min="12" max="12" width="14.25"/>
    <col customWidth="1" min="13" max="13" width="13.75"/>
    <col customWidth="1" min="14" max="14" width="41.0"/>
    <col customWidth="1" min="15" max="15" width="33.38"/>
    <col customWidth="1" hidden="1" min="16" max="16" width="15.0"/>
    <col customWidth="1" hidden="1" min="17" max="17" width="14.25"/>
    <col customWidth="1" hidden="1" min="18" max="18" width="6.38"/>
    <col customWidth="1" min="19" max="19" width="0.38"/>
    <col customWidth="1" hidden="1" min="20" max="20" width="0.13"/>
    <col customWidth="1" min="21" max="26" width="11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61" t="s">
        <v>37</v>
      </c>
      <c r="C2" s="61" t="s">
        <v>3</v>
      </c>
      <c r="D2" s="62"/>
      <c r="E2" s="63" t="s">
        <v>38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4" t="s">
        <v>39</v>
      </c>
      <c r="C3" s="64" t="s">
        <v>5</v>
      </c>
      <c r="D3" s="65"/>
      <c r="E3" s="6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66" t="s">
        <v>40</v>
      </c>
      <c r="C4" s="67" t="s">
        <v>7</v>
      </c>
      <c r="D4" s="68"/>
      <c r="E4" s="6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"/>
      <c r="C5" s="1"/>
      <c r="D5" s="69" t="s">
        <v>41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70" t="s">
        <v>42</v>
      </c>
      <c r="B6" s="70" t="s">
        <v>43</v>
      </c>
      <c r="C6" s="70" t="s">
        <v>44</v>
      </c>
      <c r="D6" s="70" t="s">
        <v>45</v>
      </c>
      <c r="E6" s="70" t="s">
        <v>46</v>
      </c>
      <c r="F6" s="70" t="s">
        <v>47</v>
      </c>
      <c r="G6" s="70" t="s">
        <v>48</v>
      </c>
      <c r="H6" s="70" t="s">
        <v>44</v>
      </c>
      <c r="I6" s="70" t="s">
        <v>29</v>
      </c>
      <c r="J6" s="70" t="s">
        <v>49</v>
      </c>
      <c r="K6" s="70" t="s">
        <v>18</v>
      </c>
      <c r="L6" s="70" t="s">
        <v>50</v>
      </c>
      <c r="M6" s="70" t="s">
        <v>51</v>
      </c>
      <c r="N6" s="70" t="s">
        <v>52</v>
      </c>
      <c r="O6" s="71" t="s">
        <v>53</v>
      </c>
      <c r="P6" s="72" t="s">
        <v>54</v>
      </c>
      <c r="Q6" s="72" t="s">
        <v>55</v>
      </c>
      <c r="R6" s="72" t="s">
        <v>56</v>
      </c>
      <c r="S6" s="72" t="s">
        <v>57</v>
      </c>
      <c r="T6" s="72" t="s">
        <v>58</v>
      </c>
      <c r="U6" s="1"/>
      <c r="V6" s="1"/>
      <c r="W6" s="1"/>
      <c r="X6" s="1"/>
      <c r="Y6" s="1"/>
      <c r="Z6" s="1"/>
    </row>
    <row r="7" ht="51.75" customHeight="1">
      <c r="A7" s="73">
        <v>46035.0</v>
      </c>
      <c r="B7" s="74" t="s">
        <v>59</v>
      </c>
      <c r="C7" s="75" t="s">
        <v>60</v>
      </c>
      <c r="D7" s="74" t="s">
        <v>61</v>
      </c>
      <c r="E7" s="75" t="s">
        <v>62</v>
      </c>
      <c r="F7" s="75" t="s">
        <v>63</v>
      </c>
      <c r="G7" s="75" t="s">
        <v>64</v>
      </c>
      <c r="H7" s="75" t="s">
        <v>60</v>
      </c>
      <c r="I7" s="74">
        <v>2.0</v>
      </c>
      <c r="J7" s="74" t="s">
        <v>23</v>
      </c>
      <c r="K7" s="74" t="s">
        <v>23</v>
      </c>
      <c r="L7" s="76">
        <v>2.0</v>
      </c>
      <c r="M7" s="76">
        <f t="shared" ref="M7:M21" si="1">I7*L7</f>
        <v>4</v>
      </c>
      <c r="N7" s="74"/>
      <c r="O7" s="74" t="s">
        <v>65</v>
      </c>
      <c r="P7" s="77" t="s">
        <v>66</v>
      </c>
      <c r="Q7" s="78" t="s">
        <v>30</v>
      </c>
      <c r="R7" s="78">
        <v>3.0</v>
      </c>
      <c r="S7" s="78" t="s">
        <v>24</v>
      </c>
      <c r="T7" s="78">
        <v>3.0</v>
      </c>
      <c r="U7" s="1"/>
      <c r="V7" s="1"/>
      <c r="W7" s="1"/>
      <c r="X7" s="1"/>
      <c r="Y7" s="1"/>
      <c r="Z7" s="1"/>
    </row>
    <row r="8" ht="51.75" customHeight="1">
      <c r="A8" s="73">
        <v>46036.0</v>
      </c>
      <c r="B8" s="74" t="s">
        <v>67</v>
      </c>
      <c r="C8" s="75" t="s">
        <v>68</v>
      </c>
      <c r="D8" s="74" t="s">
        <v>69</v>
      </c>
      <c r="E8" s="75" t="s">
        <v>70</v>
      </c>
      <c r="F8" s="75" t="s">
        <v>71</v>
      </c>
      <c r="G8" s="75" t="s">
        <v>72</v>
      </c>
      <c r="H8" s="75" t="s">
        <v>68</v>
      </c>
      <c r="I8" s="74">
        <v>2.0</v>
      </c>
      <c r="J8" s="74" t="s">
        <v>23</v>
      </c>
      <c r="K8" s="74" t="s">
        <v>23</v>
      </c>
      <c r="L8" s="76">
        <v>2.0</v>
      </c>
      <c r="M8" s="76">
        <f t="shared" si="1"/>
        <v>4</v>
      </c>
      <c r="N8" s="74"/>
      <c r="O8" s="74" t="s">
        <v>73</v>
      </c>
      <c r="P8" s="77" t="s">
        <v>66</v>
      </c>
      <c r="Q8" s="78" t="s">
        <v>30</v>
      </c>
      <c r="R8" s="78">
        <v>3.0</v>
      </c>
      <c r="S8" s="78" t="s">
        <v>24</v>
      </c>
      <c r="T8" s="78">
        <v>3.0</v>
      </c>
      <c r="U8" s="1"/>
      <c r="V8" s="1"/>
      <c r="W8" s="1"/>
      <c r="X8" s="1"/>
      <c r="Y8" s="1"/>
      <c r="Z8" s="1"/>
    </row>
    <row r="9" ht="51.75" customHeight="1">
      <c r="A9" s="73">
        <v>46037.0</v>
      </c>
      <c r="B9" s="74" t="s">
        <v>74</v>
      </c>
      <c r="C9" s="75" t="s">
        <v>75</v>
      </c>
      <c r="D9" s="74" t="s">
        <v>76</v>
      </c>
      <c r="E9" s="75" t="s">
        <v>77</v>
      </c>
      <c r="F9" s="75" t="s">
        <v>78</v>
      </c>
      <c r="G9" s="75" t="s">
        <v>79</v>
      </c>
      <c r="H9" s="75" t="s">
        <v>75</v>
      </c>
      <c r="I9" s="74">
        <v>1.0</v>
      </c>
      <c r="J9" s="74" t="s">
        <v>22</v>
      </c>
      <c r="K9" s="74" t="s">
        <v>22</v>
      </c>
      <c r="L9" s="76">
        <v>1.0</v>
      </c>
      <c r="M9" s="76">
        <f t="shared" si="1"/>
        <v>1</v>
      </c>
      <c r="N9" s="74"/>
      <c r="O9" s="74" t="s">
        <v>80</v>
      </c>
      <c r="P9" s="77" t="s">
        <v>66</v>
      </c>
      <c r="Q9" s="78" t="s">
        <v>30</v>
      </c>
      <c r="R9" s="78">
        <v>3.0</v>
      </c>
      <c r="S9" s="78" t="s">
        <v>24</v>
      </c>
      <c r="T9" s="78">
        <v>3.0</v>
      </c>
      <c r="U9" s="1"/>
      <c r="V9" s="1"/>
      <c r="W9" s="1"/>
      <c r="X9" s="1"/>
      <c r="Y9" s="1"/>
      <c r="Z9" s="1"/>
    </row>
    <row r="10" ht="51.75" customHeight="1">
      <c r="A10" s="73">
        <v>46038.0</v>
      </c>
      <c r="B10" s="74" t="s">
        <v>81</v>
      </c>
      <c r="C10" s="75" t="s">
        <v>82</v>
      </c>
      <c r="D10" s="74" t="s">
        <v>83</v>
      </c>
      <c r="E10" s="75" t="s">
        <v>84</v>
      </c>
      <c r="F10" s="75" t="s">
        <v>85</v>
      </c>
      <c r="G10" s="75" t="s">
        <v>86</v>
      </c>
      <c r="H10" s="75" t="s">
        <v>82</v>
      </c>
      <c r="I10" s="74">
        <v>2.0</v>
      </c>
      <c r="J10" s="74" t="s">
        <v>23</v>
      </c>
      <c r="K10" s="74" t="s">
        <v>23</v>
      </c>
      <c r="L10" s="76">
        <v>2.0</v>
      </c>
      <c r="M10" s="76">
        <f t="shared" si="1"/>
        <v>4</v>
      </c>
      <c r="N10" s="74"/>
      <c r="O10" s="74" t="s">
        <v>65</v>
      </c>
      <c r="P10" s="77" t="s">
        <v>66</v>
      </c>
      <c r="Q10" s="78" t="s">
        <v>30</v>
      </c>
      <c r="R10" s="78">
        <v>3.0</v>
      </c>
      <c r="S10" s="78" t="s">
        <v>24</v>
      </c>
      <c r="T10" s="78">
        <v>3.0</v>
      </c>
      <c r="U10" s="1"/>
      <c r="V10" s="1"/>
      <c r="W10" s="1"/>
      <c r="X10" s="1"/>
      <c r="Y10" s="1"/>
      <c r="Z10" s="1"/>
    </row>
    <row r="11" ht="51.75" customHeight="1">
      <c r="A11" s="73">
        <v>46039.0</v>
      </c>
      <c r="B11" s="74" t="s">
        <v>87</v>
      </c>
      <c r="C11" s="75" t="s">
        <v>88</v>
      </c>
      <c r="D11" s="74" t="s">
        <v>89</v>
      </c>
      <c r="E11" s="75" t="s">
        <v>90</v>
      </c>
      <c r="F11" s="75" t="s">
        <v>91</v>
      </c>
      <c r="G11" s="75" t="s">
        <v>92</v>
      </c>
      <c r="H11" s="75" t="s">
        <v>88</v>
      </c>
      <c r="I11" s="74">
        <v>3.0</v>
      </c>
      <c r="J11" s="74" t="s">
        <v>24</v>
      </c>
      <c r="K11" s="74" t="s">
        <v>24</v>
      </c>
      <c r="L11" s="76">
        <v>3.0</v>
      </c>
      <c r="M11" s="76">
        <f t="shared" si="1"/>
        <v>9</v>
      </c>
      <c r="N11" s="74"/>
      <c r="O11" s="74" t="s">
        <v>65</v>
      </c>
      <c r="P11" s="77" t="s">
        <v>93</v>
      </c>
      <c r="Q11" s="78"/>
      <c r="R11" s="78"/>
      <c r="S11" s="78"/>
      <c r="T11" s="78"/>
      <c r="U11" s="1"/>
      <c r="V11" s="1"/>
      <c r="W11" s="1"/>
      <c r="X11" s="1"/>
      <c r="Y11" s="1"/>
      <c r="Z11" s="1"/>
    </row>
    <row r="12" ht="51.75" customHeight="1">
      <c r="A12" s="73">
        <v>46040.0</v>
      </c>
      <c r="B12" s="74" t="s">
        <v>94</v>
      </c>
      <c r="C12" s="75" t="s">
        <v>95</v>
      </c>
      <c r="D12" s="74" t="s">
        <v>96</v>
      </c>
      <c r="E12" s="75" t="s">
        <v>97</v>
      </c>
      <c r="F12" s="75" t="s">
        <v>98</v>
      </c>
      <c r="G12" s="75" t="s">
        <v>99</v>
      </c>
      <c r="H12" s="75" t="s">
        <v>95</v>
      </c>
      <c r="I12" s="74">
        <v>2.0</v>
      </c>
      <c r="J12" s="74" t="s">
        <v>23</v>
      </c>
      <c r="K12" s="74" t="s">
        <v>23</v>
      </c>
      <c r="L12" s="76">
        <v>2.0</v>
      </c>
      <c r="M12" s="76">
        <f t="shared" si="1"/>
        <v>4</v>
      </c>
      <c r="N12" s="74"/>
      <c r="O12" s="74" t="s">
        <v>65</v>
      </c>
      <c r="P12" s="77" t="s">
        <v>100</v>
      </c>
      <c r="Q12" s="78"/>
      <c r="R12" s="78"/>
      <c r="S12" s="78"/>
      <c r="T12" s="78"/>
      <c r="U12" s="1"/>
      <c r="V12" s="1"/>
      <c r="W12" s="1"/>
      <c r="X12" s="1"/>
      <c r="Y12" s="1"/>
      <c r="Z12" s="1"/>
    </row>
    <row r="13" ht="51.75" customHeight="1">
      <c r="A13" s="73">
        <v>46041.0</v>
      </c>
      <c r="B13" s="74" t="s">
        <v>101</v>
      </c>
      <c r="C13" s="75" t="s">
        <v>102</v>
      </c>
      <c r="D13" s="74" t="s">
        <v>103</v>
      </c>
      <c r="E13" s="75" t="s">
        <v>104</v>
      </c>
      <c r="F13" s="75" t="s">
        <v>105</v>
      </c>
      <c r="G13" s="75" t="s">
        <v>106</v>
      </c>
      <c r="H13" s="75" t="s">
        <v>102</v>
      </c>
      <c r="I13" s="74">
        <v>2.0</v>
      </c>
      <c r="J13" s="74" t="s">
        <v>23</v>
      </c>
      <c r="K13" s="74" t="s">
        <v>23</v>
      </c>
      <c r="L13" s="76">
        <v>2.0</v>
      </c>
      <c r="M13" s="76">
        <f t="shared" si="1"/>
        <v>4</v>
      </c>
      <c r="N13" s="74"/>
      <c r="O13" s="74" t="s">
        <v>65</v>
      </c>
      <c r="P13" s="77"/>
      <c r="Q13" s="78"/>
      <c r="R13" s="78"/>
      <c r="S13" s="78"/>
      <c r="T13" s="78"/>
      <c r="U13" s="1"/>
      <c r="V13" s="1"/>
      <c r="W13" s="1"/>
      <c r="X13" s="1"/>
      <c r="Y13" s="1"/>
      <c r="Z13" s="1"/>
    </row>
    <row r="14" ht="51.75" customHeight="1">
      <c r="A14" s="73">
        <v>46042.0</v>
      </c>
      <c r="B14" s="74" t="s">
        <v>107</v>
      </c>
      <c r="C14" s="75" t="s">
        <v>108</v>
      </c>
      <c r="D14" s="74" t="s">
        <v>109</v>
      </c>
      <c r="E14" s="75" t="s">
        <v>110</v>
      </c>
      <c r="F14" s="75" t="s">
        <v>111</v>
      </c>
      <c r="G14" s="75" t="s">
        <v>112</v>
      </c>
      <c r="H14" s="75" t="s">
        <v>108</v>
      </c>
      <c r="I14" s="74">
        <v>1.0</v>
      </c>
      <c r="J14" s="74" t="s">
        <v>22</v>
      </c>
      <c r="K14" s="74" t="s">
        <v>22</v>
      </c>
      <c r="L14" s="76">
        <v>1.0</v>
      </c>
      <c r="M14" s="76">
        <f t="shared" si="1"/>
        <v>1</v>
      </c>
      <c r="N14" s="74"/>
      <c r="O14" s="79" t="s">
        <v>113</v>
      </c>
      <c r="P14" s="77"/>
      <c r="Q14" s="78"/>
      <c r="R14" s="78"/>
      <c r="S14" s="78"/>
      <c r="T14" s="78"/>
      <c r="U14" s="1"/>
      <c r="V14" s="1"/>
      <c r="W14" s="1"/>
      <c r="X14" s="1"/>
      <c r="Y14" s="1"/>
      <c r="Z14" s="1"/>
    </row>
    <row r="15" ht="51.75" customHeight="1">
      <c r="A15" s="73">
        <v>46043.0</v>
      </c>
      <c r="B15" s="74" t="s">
        <v>114</v>
      </c>
      <c r="C15" s="75" t="s">
        <v>115</v>
      </c>
      <c r="D15" s="74" t="s">
        <v>116</v>
      </c>
      <c r="E15" s="75" t="s">
        <v>117</v>
      </c>
      <c r="F15" s="75" t="s">
        <v>118</v>
      </c>
      <c r="G15" s="75" t="s">
        <v>119</v>
      </c>
      <c r="H15" s="75" t="s">
        <v>115</v>
      </c>
      <c r="I15" s="74">
        <v>1.0</v>
      </c>
      <c r="J15" s="74" t="s">
        <v>22</v>
      </c>
      <c r="K15" s="74" t="s">
        <v>22</v>
      </c>
      <c r="L15" s="76">
        <v>1.0</v>
      </c>
      <c r="M15" s="76">
        <f t="shared" si="1"/>
        <v>1</v>
      </c>
      <c r="N15" s="74"/>
      <c r="O15" s="74" t="s">
        <v>120</v>
      </c>
      <c r="P15" s="77"/>
      <c r="Q15" s="78"/>
      <c r="R15" s="78"/>
      <c r="S15" s="78"/>
      <c r="T15" s="78"/>
      <c r="U15" s="1"/>
      <c r="V15" s="1"/>
      <c r="W15" s="1"/>
      <c r="X15" s="1"/>
      <c r="Y15" s="1"/>
      <c r="Z15" s="1"/>
    </row>
    <row r="16" ht="51.75" customHeight="1">
      <c r="A16" s="73">
        <v>46044.0</v>
      </c>
      <c r="B16" s="74" t="s">
        <v>121</v>
      </c>
      <c r="C16" s="75" t="s">
        <v>122</v>
      </c>
      <c r="D16" s="74" t="s">
        <v>123</v>
      </c>
      <c r="E16" s="75" t="s">
        <v>124</v>
      </c>
      <c r="F16" s="75" t="s">
        <v>125</v>
      </c>
      <c r="G16" s="75" t="s">
        <v>126</v>
      </c>
      <c r="H16" s="75" t="s">
        <v>122</v>
      </c>
      <c r="I16" s="74">
        <v>2.0</v>
      </c>
      <c r="J16" s="74" t="s">
        <v>23</v>
      </c>
      <c r="K16" s="74" t="s">
        <v>23</v>
      </c>
      <c r="L16" s="76">
        <v>2.0</v>
      </c>
      <c r="M16" s="76">
        <f t="shared" si="1"/>
        <v>4</v>
      </c>
      <c r="N16" s="74"/>
      <c r="O16" s="74" t="s">
        <v>127</v>
      </c>
      <c r="P16" s="77"/>
      <c r="Q16" s="78"/>
      <c r="R16" s="78"/>
      <c r="S16" s="78"/>
      <c r="T16" s="78"/>
      <c r="U16" s="1"/>
      <c r="V16" s="1"/>
      <c r="W16" s="1"/>
      <c r="X16" s="1"/>
      <c r="Y16" s="1"/>
      <c r="Z16" s="1"/>
    </row>
    <row r="17" ht="51.75" customHeight="1">
      <c r="A17" s="73">
        <v>46045.0</v>
      </c>
      <c r="B17" s="74" t="s">
        <v>128</v>
      </c>
      <c r="C17" s="75" t="s">
        <v>129</v>
      </c>
      <c r="D17" s="74" t="s">
        <v>130</v>
      </c>
      <c r="E17" s="75" t="s">
        <v>131</v>
      </c>
      <c r="F17" s="75" t="s">
        <v>132</v>
      </c>
      <c r="G17" s="75" t="s">
        <v>133</v>
      </c>
      <c r="H17" s="75" t="s">
        <v>129</v>
      </c>
      <c r="I17" s="74">
        <v>1.0</v>
      </c>
      <c r="J17" s="74" t="s">
        <v>22</v>
      </c>
      <c r="K17" s="74" t="s">
        <v>22</v>
      </c>
      <c r="L17" s="76">
        <v>1.0</v>
      </c>
      <c r="M17" s="76">
        <f t="shared" si="1"/>
        <v>1</v>
      </c>
      <c r="N17" s="74"/>
      <c r="O17" s="74" t="s">
        <v>65</v>
      </c>
      <c r="P17" s="77"/>
      <c r="Q17" s="78"/>
      <c r="R17" s="78"/>
      <c r="S17" s="78"/>
      <c r="T17" s="78"/>
      <c r="U17" s="1"/>
      <c r="V17" s="1"/>
      <c r="W17" s="1"/>
      <c r="X17" s="1"/>
      <c r="Y17" s="1"/>
      <c r="Z17" s="1"/>
    </row>
    <row r="18" ht="51.75" customHeight="1">
      <c r="A18" s="73">
        <v>46046.0</v>
      </c>
      <c r="B18" s="74" t="s">
        <v>134</v>
      </c>
      <c r="C18" s="75" t="s">
        <v>135</v>
      </c>
      <c r="D18" s="74" t="s">
        <v>136</v>
      </c>
      <c r="E18" s="75" t="s">
        <v>137</v>
      </c>
      <c r="F18" s="75" t="s">
        <v>138</v>
      </c>
      <c r="G18" s="75" t="s">
        <v>139</v>
      </c>
      <c r="H18" s="75" t="s">
        <v>135</v>
      </c>
      <c r="I18" s="74">
        <v>1.0</v>
      </c>
      <c r="J18" s="74" t="s">
        <v>22</v>
      </c>
      <c r="K18" s="74" t="s">
        <v>22</v>
      </c>
      <c r="L18" s="76">
        <v>1.0</v>
      </c>
      <c r="M18" s="76">
        <f t="shared" si="1"/>
        <v>1</v>
      </c>
      <c r="N18" s="74"/>
      <c r="O18" s="74" t="s">
        <v>140</v>
      </c>
      <c r="P18" s="77"/>
      <c r="Q18" s="78"/>
      <c r="R18" s="78"/>
      <c r="S18" s="78"/>
      <c r="T18" s="78"/>
      <c r="U18" s="1"/>
      <c r="V18" s="1"/>
      <c r="W18" s="1"/>
      <c r="X18" s="1"/>
      <c r="Y18" s="1"/>
      <c r="Z18" s="1"/>
    </row>
    <row r="19" ht="51.75" customHeight="1">
      <c r="A19" s="73">
        <v>46047.0</v>
      </c>
      <c r="B19" s="74" t="s">
        <v>141</v>
      </c>
      <c r="C19" s="75" t="s">
        <v>142</v>
      </c>
      <c r="D19" s="74" t="s">
        <v>143</v>
      </c>
      <c r="E19" s="75" t="s">
        <v>144</v>
      </c>
      <c r="F19" s="75" t="s">
        <v>145</v>
      </c>
      <c r="G19" s="75" t="s">
        <v>146</v>
      </c>
      <c r="H19" s="75" t="s">
        <v>142</v>
      </c>
      <c r="I19" s="74">
        <v>1.0</v>
      </c>
      <c r="J19" s="74" t="s">
        <v>22</v>
      </c>
      <c r="K19" s="74" t="s">
        <v>22</v>
      </c>
      <c r="L19" s="76">
        <v>1.0</v>
      </c>
      <c r="M19" s="76">
        <f t="shared" si="1"/>
        <v>1</v>
      </c>
      <c r="N19" s="74"/>
      <c r="O19" s="79" t="s">
        <v>147</v>
      </c>
      <c r="P19" s="77"/>
      <c r="Q19" s="78"/>
      <c r="R19" s="78"/>
      <c r="S19" s="78"/>
      <c r="T19" s="78"/>
      <c r="U19" s="1"/>
      <c r="V19" s="1"/>
      <c r="W19" s="1"/>
      <c r="X19" s="1"/>
      <c r="Y19" s="1"/>
      <c r="Z19" s="1"/>
    </row>
    <row r="20" ht="51.75" customHeight="1">
      <c r="A20" s="73">
        <v>46048.0</v>
      </c>
      <c r="B20" s="74" t="s">
        <v>148</v>
      </c>
      <c r="C20" s="75" t="s">
        <v>149</v>
      </c>
      <c r="D20" s="74" t="s">
        <v>76</v>
      </c>
      <c r="E20" s="75" t="s">
        <v>150</v>
      </c>
      <c r="F20" s="75" t="s">
        <v>151</v>
      </c>
      <c r="G20" s="75" t="s">
        <v>152</v>
      </c>
      <c r="H20" s="75" t="s">
        <v>149</v>
      </c>
      <c r="I20" s="74">
        <v>1.0</v>
      </c>
      <c r="J20" s="74" t="s">
        <v>22</v>
      </c>
      <c r="K20" s="74" t="s">
        <v>22</v>
      </c>
      <c r="L20" s="76">
        <v>1.0</v>
      </c>
      <c r="M20" s="76">
        <f t="shared" si="1"/>
        <v>1</v>
      </c>
      <c r="N20" s="74"/>
      <c r="O20" s="74" t="s">
        <v>153</v>
      </c>
      <c r="P20" s="77"/>
      <c r="Q20" s="78"/>
      <c r="R20" s="78"/>
      <c r="S20" s="78"/>
      <c r="T20" s="78"/>
      <c r="U20" s="1"/>
      <c r="V20" s="1"/>
      <c r="W20" s="1"/>
      <c r="X20" s="1"/>
      <c r="Y20" s="1"/>
      <c r="Z20" s="1"/>
    </row>
    <row r="21" ht="51.75" customHeight="1">
      <c r="A21" s="73">
        <v>46049.0</v>
      </c>
      <c r="B21" s="74" t="s">
        <v>154</v>
      </c>
      <c r="C21" s="75" t="s">
        <v>155</v>
      </c>
      <c r="D21" s="74" t="s">
        <v>156</v>
      </c>
      <c r="E21" s="75" t="s">
        <v>157</v>
      </c>
      <c r="F21" s="75" t="s">
        <v>158</v>
      </c>
      <c r="G21" s="75" t="s">
        <v>159</v>
      </c>
      <c r="H21" s="75" t="s">
        <v>155</v>
      </c>
      <c r="I21" s="74">
        <v>2.0</v>
      </c>
      <c r="J21" s="74" t="s">
        <v>23</v>
      </c>
      <c r="K21" s="74" t="s">
        <v>23</v>
      </c>
      <c r="L21" s="76">
        <v>2.0</v>
      </c>
      <c r="M21" s="76">
        <f t="shared" si="1"/>
        <v>4</v>
      </c>
      <c r="N21" s="74"/>
      <c r="O21" s="74" t="s">
        <v>160</v>
      </c>
      <c r="P21" s="77"/>
      <c r="Q21" s="78"/>
      <c r="R21" s="78"/>
      <c r="S21" s="78"/>
      <c r="T21" s="78"/>
      <c r="U21" s="1"/>
      <c r="V21" s="1"/>
      <c r="W21" s="1"/>
      <c r="X21" s="1"/>
      <c r="Y21" s="1"/>
      <c r="Z21" s="1"/>
    </row>
    <row r="22" ht="51.75" customHeight="1">
      <c r="A22" s="80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7"/>
      <c r="Q22" s="78"/>
      <c r="R22" s="78"/>
      <c r="S22" s="78"/>
      <c r="T22" s="78"/>
      <c r="U22" s="1"/>
      <c r="V22" s="1"/>
      <c r="W22" s="1"/>
      <c r="X22" s="1"/>
      <c r="Y22" s="1"/>
      <c r="Z22" s="1"/>
    </row>
    <row r="23" ht="51.75" customHeight="1">
      <c r="A23" s="80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7"/>
      <c r="Q23" s="78"/>
      <c r="R23" s="78"/>
      <c r="S23" s="78"/>
      <c r="T23" s="78"/>
      <c r="U23" s="1"/>
      <c r="V23" s="1"/>
      <c r="W23" s="1"/>
      <c r="X23" s="1"/>
      <c r="Y23" s="1"/>
      <c r="Z23" s="1"/>
    </row>
    <row r="24" ht="51.75" customHeight="1">
      <c r="A24" s="80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7"/>
      <c r="Q24" s="78"/>
      <c r="R24" s="78"/>
      <c r="S24" s="78"/>
      <c r="T24" s="78"/>
      <c r="U24" s="1"/>
      <c r="V24" s="1"/>
      <c r="W24" s="1"/>
      <c r="X24" s="1"/>
      <c r="Y24" s="1"/>
      <c r="Z24" s="1"/>
    </row>
    <row r="25" ht="51.75" customHeight="1">
      <c r="A25" s="80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7"/>
      <c r="Q25" s="78"/>
      <c r="R25" s="78"/>
      <c r="S25" s="78"/>
      <c r="T25" s="78"/>
      <c r="U25" s="1"/>
      <c r="V25" s="1"/>
      <c r="W25" s="1"/>
      <c r="X25" s="1"/>
      <c r="Y25" s="1"/>
      <c r="Z25" s="1"/>
    </row>
    <row r="26" ht="51.75" customHeight="1">
      <c r="A26" s="80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7"/>
      <c r="Q26" s="78"/>
      <c r="R26" s="78"/>
      <c r="S26" s="78"/>
      <c r="T26" s="78"/>
      <c r="U26" s="1"/>
      <c r="V26" s="1"/>
      <c r="W26" s="1"/>
      <c r="X26" s="1"/>
      <c r="Y26" s="1"/>
      <c r="Z26" s="1"/>
    </row>
    <row r="27" ht="51.75" customHeight="1">
      <c r="A27" s="80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7"/>
      <c r="Q27" s="78"/>
      <c r="R27" s="78"/>
      <c r="S27" s="78"/>
      <c r="T27" s="78"/>
      <c r="U27" s="1"/>
      <c r="V27" s="1"/>
      <c r="W27" s="1"/>
      <c r="X27" s="1"/>
      <c r="Y27" s="1"/>
      <c r="Z27" s="1"/>
    </row>
    <row r="28" ht="51.75" customHeight="1">
      <c r="A28" s="80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7"/>
      <c r="Q28" s="78"/>
      <c r="R28" s="78"/>
      <c r="S28" s="78"/>
      <c r="T28" s="78"/>
      <c r="U28" s="1"/>
      <c r="V28" s="1"/>
      <c r="W28" s="1"/>
      <c r="X28" s="1"/>
      <c r="Y28" s="1"/>
      <c r="Z28" s="1"/>
    </row>
    <row r="29" ht="51.75" customHeight="1">
      <c r="A29" s="80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7"/>
      <c r="Q29" s="78"/>
      <c r="R29" s="78"/>
      <c r="S29" s="78"/>
      <c r="T29" s="78"/>
      <c r="U29" s="1"/>
      <c r="V29" s="1"/>
      <c r="W29" s="1"/>
      <c r="X29" s="1"/>
      <c r="Y29" s="1"/>
      <c r="Z29" s="1"/>
    </row>
    <row r="30" ht="51.75" customHeight="1">
      <c r="A30" s="80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7"/>
      <c r="Q30" s="78"/>
      <c r="R30" s="78"/>
      <c r="S30" s="78"/>
      <c r="T30" s="78"/>
      <c r="U30" s="1"/>
      <c r="V30" s="1"/>
      <c r="W30" s="1"/>
      <c r="X30" s="1"/>
      <c r="Y30" s="1"/>
      <c r="Z30" s="1"/>
    </row>
    <row r="31" ht="51.75" customHeight="1">
      <c r="A31" s="80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7"/>
      <c r="Q31" s="78"/>
      <c r="R31" s="78"/>
      <c r="S31" s="78"/>
      <c r="T31" s="78"/>
      <c r="U31" s="1"/>
      <c r="V31" s="1"/>
      <c r="W31" s="1"/>
      <c r="X31" s="1"/>
      <c r="Y31" s="1"/>
      <c r="Z31" s="1"/>
    </row>
    <row r="32" ht="51.75" customHeight="1">
      <c r="A32" s="80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7"/>
      <c r="Q32" s="78"/>
      <c r="R32" s="78"/>
      <c r="S32" s="78"/>
      <c r="T32" s="78"/>
      <c r="U32" s="1"/>
      <c r="V32" s="1"/>
      <c r="W32" s="1"/>
      <c r="X32" s="1"/>
      <c r="Y32" s="1"/>
      <c r="Z32" s="1"/>
    </row>
    <row r="33" ht="51.75" customHeight="1">
      <c r="A33" s="80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7"/>
      <c r="Q33" s="78"/>
      <c r="R33" s="78"/>
      <c r="S33" s="78"/>
      <c r="T33" s="78"/>
      <c r="U33" s="1"/>
      <c r="V33" s="1"/>
      <c r="W33" s="1"/>
      <c r="X33" s="1"/>
      <c r="Y33" s="1"/>
      <c r="Z33" s="1"/>
    </row>
    <row r="34" ht="51.75" customHeight="1">
      <c r="A34" s="80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7"/>
      <c r="Q34" s="78"/>
      <c r="R34" s="78"/>
      <c r="S34" s="78"/>
      <c r="T34" s="78"/>
      <c r="U34" s="1"/>
      <c r="V34" s="1"/>
      <c r="W34" s="1"/>
      <c r="X34" s="1"/>
      <c r="Y34" s="1"/>
      <c r="Z34" s="1"/>
    </row>
    <row r="35" ht="51.75" customHeight="1">
      <c r="A35" s="80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7"/>
      <c r="Q35" s="78"/>
      <c r="R35" s="78"/>
      <c r="S35" s="78"/>
      <c r="T35" s="78"/>
      <c r="U35" s="1"/>
      <c r="V35" s="1"/>
      <c r="W35" s="1"/>
      <c r="X35" s="1"/>
      <c r="Y35" s="1"/>
      <c r="Z35" s="1"/>
    </row>
    <row r="36" ht="51.75" customHeight="1">
      <c r="A36" s="80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7"/>
      <c r="Q36" s="78"/>
      <c r="R36" s="78"/>
      <c r="S36" s="78"/>
      <c r="T36" s="78"/>
      <c r="U36" s="1"/>
      <c r="V36" s="1"/>
      <c r="W36" s="1"/>
      <c r="X36" s="1"/>
      <c r="Y36" s="1"/>
      <c r="Z36" s="1"/>
    </row>
    <row r="37" ht="51.75" customHeight="1">
      <c r="A37" s="80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7"/>
      <c r="Q37" s="78"/>
      <c r="R37" s="78"/>
      <c r="S37" s="78"/>
      <c r="T37" s="78"/>
      <c r="U37" s="1"/>
      <c r="V37" s="1"/>
      <c r="W37" s="1"/>
      <c r="X37" s="1"/>
      <c r="Y37" s="1"/>
      <c r="Z37" s="1"/>
    </row>
    <row r="38" ht="51.75" customHeight="1">
      <c r="A38" s="80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7"/>
      <c r="Q38" s="78"/>
      <c r="R38" s="78"/>
      <c r="S38" s="78"/>
      <c r="T38" s="78"/>
      <c r="U38" s="1"/>
      <c r="V38" s="1"/>
      <c r="W38" s="1"/>
      <c r="X38" s="1"/>
      <c r="Y38" s="1"/>
      <c r="Z38" s="1"/>
    </row>
    <row r="39" ht="51.75" customHeight="1">
      <c r="A39" s="80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7"/>
      <c r="Q39" s="78"/>
      <c r="R39" s="78"/>
      <c r="S39" s="78"/>
      <c r="T39" s="78"/>
      <c r="U39" s="1"/>
      <c r="V39" s="1"/>
      <c r="W39" s="1"/>
      <c r="X39" s="1"/>
      <c r="Y39" s="1"/>
      <c r="Z39" s="1"/>
    </row>
    <row r="40" ht="51.75" customHeight="1">
      <c r="A40" s="80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7"/>
      <c r="Q40" s="78"/>
      <c r="R40" s="78"/>
      <c r="S40" s="78"/>
      <c r="T40" s="78"/>
      <c r="U40" s="1"/>
      <c r="V40" s="1"/>
      <c r="W40" s="1"/>
      <c r="X40" s="1"/>
      <c r="Y40" s="1"/>
      <c r="Z40" s="1"/>
    </row>
    <row r="41" ht="51.75" customHeight="1">
      <c r="A41" s="80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7"/>
      <c r="Q41" s="78"/>
      <c r="R41" s="78"/>
      <c r="S41" s="78"/>
      <c r="T41" s="78"/>
      <c r="U41" s="1"/>
      <c r="V41" s="1"/>
      <c r="W41" s="1"/>
      <c r="X41" s="1"/>
      <c r="Y41" s="1"/>
      <c r="Z41" s="1"/>
    </row>
    <row r="42" ht="15.7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77"/>
      <c r="Q42" s="78"/>
      <c r="R42" s="78"/>
      <c r="S42" s="78"/>
      <c r="T42" s="78"/>
      <c r="U42" s="1"/>
      <c r="V42" s="1"/>
      <c r="W42" s="1"/>
      <c r="X42" s="1"/>
      <c r="Y42" s="1"/>
      <c r="Z42" s="1"/>
    </row>
    <row r="43" ht="15.7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77"/>
      <c r="Q43" s="78"/>
      <c r="R43" s="78"/>
      <c r="S43" s="78"/>
      <c r="T43" s="78"/>
      <c r="U43" s="1"/>
      <c r="V43" s="1"/>
      <c r="W43" s="1"/>
      <c r="X43" s="1"/>
      <c r="Y43" s="1"/>
      <c r="Z43" s="1"/>
    </row>
    <row r="44" ht="15.7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77"/>
      <c r="Q44" s="78"/>
      <c r="R44" s="78"/>
      <c r="S44" s="78"/>
      <c r="T44" s="78"/>
      <c r="U44" s="1"/>
      <c r="V44" s="1"/>
      <c r="W44" s="1"/>
      <c r="X44" s="1"/>
      <c r="Y44" s="1"/>
      <c r="Z44" s="1"/>
    </row>
    <row r="45" ht="15.7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77"/>
      <c r="Q45" s="78"/>
      <c r="R45" s="78"/>
      <c r="S45" s="78"/>
      <c r="T45" s="78"/>
      <c r="U45" s="1"/>
      <c r="V45" s="1"/>
      <c r="W45" s="1"/>
      <c r="X45" s="1"/>
      <c r="Y45" s="1"/>
      <c r="Z45" s="1"/>
    </row>
    <row r="46" ht="15.7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77"/>
      <c r="Q46" s="78"/>
      <c r="R46" s="78"/>
      <c r="S46" s="78"/>
      <c r="T46" s="78"/>
      <c r="U46" s="1"/>
      <c r="V46" s="1"/>
      <c r="W46" s="1"/>
      <c r="X46" s="1"/>
      <c r="Y46" s="1"/>
      <c r="Z46" s="1"/>
    </row>
    <row r="47" ht="15.7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77"/>
      <c r="Q47" s="78"/>
      <c r="R47" s="78"/>
      <c r="S47" s="78"/>
      <c r="T47" s="78"/>
      <c r="U47" s="1"/>
      <c r="V47" s="1"/>
      <c r="W47" s="1"/>
      <c r="X47" s="1"/>
      <c r="Y47" s="1"/>
      <c r="Z47" s="1"/>
    </row>
    <row r="48" ht="15.7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77"/>
      <c r="Q48" s="78"/>
      <c r="R48" s="78"/>
      <c r="S48" s="78"/>
      <c r="T48" s="78"/>
      <c r="U48" s="1"/>
      <c r="V48" s="1"/>
      <c r="W48" s="1"/>
      <c r="X48" s="1"/>
      <c r="Y48" s="1"/>
      <c r="Z48" s="1"/>
    </row>
    <row r="49" ht="15.7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77"/>
      <c r="Q49" s="78"/>
      <c r="R49" s="78"/>
      <c r="S49" s="78"/>
      <c r="T49" s="78"/>
      <c r="U49" s="1"/>
      <c r="V49" s="1"/>
      <c r="W49" s="1"/>
      <c r="X49" s="1"/>
      <c r="Y49" s="1"/>
      <c r="Z49" s="1"/>
    </row>
    <row r="50" ht="15.7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77"/>
      <c r="Q50" s="78"/>
      <c r="R50" s="78"/>
      <c r="S50" s="78"/>
      <c r="T50" s="78"/>
      <c r="U50" s="1"/>
      <c r="V50" s="1"/>
      <c r="W50" s="1"/>
      <c r="X50" s="1"/>
      <c r="Y50" s="1"/>
      <c r="Z50" s="1"/>
    </row>
    <row r="51" ht="15.7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77"/>
      <c r="Q51" s="78"/>
      <c r="R51" s="78"/>
      <c r="S51" s="78"/>
      <c r="T51" s="78"/>
      <c r="U51" s="1"/>
      <c r="V51" s="1"/>
      <c r="W51" s="1"/>
      <c r="X51" s="1"/>
      <c r="Y51" s="1"/>
      <c r="Z51" s="1"/>
    </row>
    <row r="52" ht="15.7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77"/>
      <c r="Q52" s="78"/>
      <c r="R52" s="78"/>
      <c r="S52" s="78"/>
      <c r="T52" s="78"/>
      <c r="U52" s="1"/>
      <c r="V52" s="1"/>
      <c r="W52" s="1"/>
      <c r="X52" s="1"/>
      <c r="Y52" s="1"/>
      <c r="Z52" s="1"/>
    </row>
    <row r="53" ht="15.7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77"/>
      <c r="Q53" s="78"/>
      <c r="R53" s="78"/>
      <c r="S53" s="78"/>
      <c r="T53" s="78"/>
      <c r="U53" s="1"/>
      <c r="V53" s="1"/>
      <c r="W53" s="1"/>
      <c r="X53" s="1"/>
      <c r="Y53" s="1"/>
      <c r="Z53" s="1"/>
    </row>
    <row r="54" ht="15.7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2"/>
      <c r="N54" s="81"/>
      <c r="O54" s="81"/>
      <c r="P54" s="77"/>
      <c r="Q54" s="78"/>
      <c r="R54" s="78"/>
      <c r="S54" s="78"/>
      <c r="T54" s="78"/>
      <c r="U54" s="1"/>
      <c r="V54" s="1"/>
      <c r="W54" s="1"/>
      <c r="X54" s="1"/>
      <c r="Y54" s="1"/>
      <c r="Z54" s="1"/>
    </row>
    <row r="55" ht="15.7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2"/>
      <c r="N55" s="81"/>
      <c r="O55" s="81"/>
      <c r="P55" s="77"/>
      <c r="Q55" s="78"/>
      <c r="R55" s="78"/>
      <c r="S55" s="78"/>
      <c r="T55" s="78"/>
      <c r="U55" s="1"/>
      <c r="V55" s="1"/>
      <c r="W55" s="1"/>
      <c r="X55" s="1"/>
      <c r="Y55" s="1"/>
      <c r="Z55" s="1"/>
    </row>
    <row r="56" ht="15.7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2"/>
      <c r="N56" s="81"/>
      <c r="O56" s="81"/>
      <c r="P56" s="77"/>
      <c r="Q56" s="78"/>
      <c r="R56" s="78"/>
      <c r="S56" s="78"/>
      <c r="T56" s="78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83"/>
      <c r="G57" s="83"/>
      <c r="H57" s="1"/>
      <c r="I57" s="1"/>
      <c r="J57" s="1"/>
      <c r="K57" s="1"/>
      <c r="L57" s="1"/>
      <c r="M57" s="8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83"/>
      <c r="G58" s="83"/>
      <c r="H58" s="1"/>
      <c r="I58" s="1"/>
      <c r="J58" s="1"/>
      <c r="K58" s="1"/>
      <c r="L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83"/>
      <c r="G59" s="83"/>
      <c r="H59" s="1"/>
      <c r="I59" s="1"/>
      <c r="J59" s="1"/>
      <c r="K59" s="1"/>
      <c r="L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83"/>
      <c r="G60" s="83"/>
      <c r="H60" s="1"/>
      <c r="I60" s="1"/>
      <c r="J60" s="1"/>
      <c r="K60" s="1"/>
      <c r="L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83"/>
      <c r="G61" s="83"/>
      <c r="H61" s="1"/>
      <c r="I61" s="1"/>
      <c r="J61" s="1"/>
      <c r="K61" s="1"/>
      <c r="L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83"/>
      <c r="G62" s="83"/>
      <c r="H62" s="1"/>
      <c r="I62" s="1"/>
      <c r="J62" s="1"/>
      <c r="K62" s="1"/>
      <c r="L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83"/>
      <c r="G63" s="83"/>
      <c r="H63" s="1"/>
      <c r="I63" s="1"/>
      <c r="J63" s="1"/>
      <c r="K63" s="1"/>
      <c r="L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83"/>
      <c r="G64" s="83"/>
      <c r="H64" s="1"/>
      <c r="I64" s="1"/>
      <c r="J64" s="1"/>
      <c r="K64" s="1"/>
      <c r="L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83"/>
      <c r="G65" s="83"/>
      <c r="H65" s="1"/>
      <c r="I65" s="1"/>
      <c r="J65" s="1"/>
      <c r="K65" s="1"/>
      <c r="L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83"/>
      <c r="G66" s="83"/>
      <c r="H66" s="1"/>
      <c r="I66" s="1"/>
      <c r="J66" s="1"/>
      <c r="K66" s="1"/>
      <c r="L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83"/>
      <c r="G67" s="83"/>
      <c r="H67" s="1"/>
      <c r="I67" s="1"/>
      <c r="J67" s="1"/>
      <c r="K67" s="1"/>
      <c r="L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83"/>
      <c r="G68" s="83"/>
      <c r="H68" s="1"/>
      <c r="I68" s="1"/>
      <c r="J68" s="1"/>
      <c r="K68" s="1"/>
      <c r="L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83"/>
      <c r="G69" s="83"/>
      <c r="H69" s="1"/>
      <c r="I69" s="1"/>
      <c r="J69" s="1"/>
      <c r="K69" s="1"/>
      <c r="L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83"/>
      <c r="G70" s="83"/>
      <c r="H70" s="1"/>
      <c r="I70" s="1"/>
      <c r="J70" s="1"/>
      <c r="K70" s="1"/>
      <c r="L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83"/>
      <c r="G71" s="83"/>
      <c r="H71" s="1"/>
      <c r="I71" s="1"/>
      <c r="J71" s="1"/>
      <c r="K71" s="1"/>
      <c r="L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83"/>
      <c r="G72" s="83"/>
      <c r="H72" s="1"/>
      <c r="I72" s="1"/>
      <c r="J72" s="1"/>
      <c r="K72" s="1"/>
      <c r="L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83"/>
      <c r="G73" s="83"/>
      <c r="H73" s="1"/>
      <c r="I73" s="1"/>
      <c r="J73" s="1"/>
      <c r="K73" s="1"/>
      <c r="L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83"/>
      <c r="G74" s="83"/>
      <c r="H74" s="1"/>
      <c r="I74" s="1"/>
      <c r="J74" s="1"/>
      <c r="K74" s="1"/>
      <c r="L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83"/>
      <c r="G75" s="83"/>
      <c r="H75" s="1"/>
      <c r="I75" s="1"/>
      <c r="J75" s="1"/>
      <c r="K75" s="1"/>
      <c r="L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83"/>
      <c r="G76" s="83"/>
      <c r="H76" s="1"/>
      <c r="I76" s="1"/>
      <c r="J76" s="1"/>
      <c r="K76" s="1"/>
      <c r="L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83"/>
      <c r="G77" s="83"/>
      <c r="H77" s="1"/>
      <c r="I77" s="1"/>
      <c r="J77" s="1"/>
      <c r="K77" s="1"/>
      <c r="L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83"/>
      <c r="G78" s="83"/>
      <c r="H78" s="1"/>
      <c r="I78" s="1"/>
      <c r="J78" s="1"/>
      <c r="K78" s="1"/>
      <c r="L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83"/>
      <c r="G79" s="83"/>
      <c r="H79" s="1"/>
      <c r="I79" s="1"/>
      <c r="J79" s="1"/>
      <c r="K79" s="1"/>
      <c r="L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83"/>
      <c r="G80" s="83"/>
      <c r="H80" s="1"/>
      <c r="I80" s="1"/>
      <c r="J80" s="1"/>
      <c r="K80" s="1"/>
      <c r="L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83"/>
      <c r="G81" s="83"/>
      <c r="H81" s="1"/>
      <c r="I81" s="1"/>
      <c r="J81" s="1"/>
      <c r="K81" s="1"/>
      <c r="L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83"/>
      <c r="G82" s="83"/>
      <c r="H82" s="1"/>
      <c r="I82" s="1"/>
      <c r="J82" s="1"/>
      <c r="K82" s="1"/>
      <c r="L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83"/>
      <c r="G83" s="83"/>
      <c r="H83" s="1"/>
      <c r="I83" s="1"/>
      <c r="J83" s="1"/>
      <c r="K83" s="1"/>
      <c r="L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83"/>
      <c r="G84" s="83"/>
      <c r="H84" s="1"/>
      <c r="I84" s="1"/>
      <c r="J84" s="1"/>
      <c r="K84" s="1"/>
      <c r="L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83"/>
      <c r="G85" s="83"/>
      <c r="H85" s="1"/>
      <c r="I85" s="1"/>
      <c r="J85" s="1"/>
      <c r="K85" s="1"/>
      <c r="L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83"/>
      <c r="G86" s="83"/>
      <c r="H86" s="1"/>
      <c r="I86" s="1"/>
      <c r="J86" s="1"/>
      <c r="K86" s="1"/>
      <c r="L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83"/>
      <c r="G87" s="83"/>
      <c r="H87" s="1"/>
      <c r="I87" s="1"/>
      <c r="J87" s="1"/>
      <c r="K87" s="1"/>
      <c r="L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83"/>
      <c r="G88" s="83"/>
      <c r="H88" s="1"/>
      <c r="I88" s="1"/>
      <c r="J88" s="1"/>
      <c r="K88" s="1"/>
      <c r="L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83"/>
      <c r="G89" s="8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83"/>
      <c r="G90" s="8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83"/>
      <c r="G91" s="8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83"/>
      <c r="G92" s="8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83"/>
      <c r="G93" s="8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83"/>
      <c r="G94" s="8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83"/>
      <c r="G95" s="8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83"/>
      <c r="G96" s="8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83"/>
      <c r="G97" s="8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83"/>
      <c r="G98" s="8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83"/>
      <c r="G99" s="8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83"/>
      <c r="G100" s="8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83"/>
      <c r="G101" s="8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83"/>
      <c r="G102" s="8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83"/>
      <c r="G103" s="8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83"/>
      <c r="G104" s="8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83"/>
      <c r="G105" s="8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83"/>
      <c r="G106" s="8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83"/>
      <c r="G107" s="8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83"/>
      <c r="G108" s="8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83"/>
      <c r="G109" s="8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83"/>
      <c r="G110" s="8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83"/>
      <c r="G111" s="8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83"/>
      <c r="G112" s="8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83"/>
      <c r="G113" s="8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83"/>
      <c r="G114" s="8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83"/>
      <c r="G115" s="8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83"/>
      <c r="G116" s="8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83"/>
      <c r="G117" s="8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83"/>
      <c r="G118" s="8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83"/>
      <c r="G119" s="8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83"/>
      <c r="G120" s="8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83"/>
      <c r="G121" s="8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83"/>
      <c r="G122" s="8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83"/>
      <c r="G123" s="8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83"/>
      <c r="G124" s="8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83"/>
      <c r="G125" s="8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83"/>
      <c r="G126" s="8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83"/>
      <c r="G127" s="8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83"/>
      <c r="G128" s="8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83"/>
      <c r="G129" s="8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83"/>
      <c r="G130" s="8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83"/>
      <c r="G131" s="8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83"/>
      <c r="G132" s="8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83"/>
      <c r="G133" s="8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83"/>
      <c r="G134" s="8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83"/>
      <c r="G135" s="8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83"/>
      <c r="G136" s="8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83"/>
      <c r="G137" s="8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83"/>
      <c r="G138" s="8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83"/>
      <c r="G139" s="8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83"/>
      <c r="G140" s="8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83"/>
      <c r="G141" s="8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83"/>
      <c r="G142" s="8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83"/>
      <c r="G143" s="8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83"/>
      <c r="G144" s="8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83"/>
      <c r="G145" s="8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83"/>
      <c r="G146" s="8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83"/>
      <c r="G147" s="8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83"/>
      <c r="G148" s="8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83"/>
      <c r="G149" s="8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83"/>
      <c r="G150" s="8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83"/>
      <c r="G151" s="8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83"/>
      <c r="G152" s="8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83"/>
      <c r="G153" s="8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83"/>
      <c r="G154" s="8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83"/>
      <c r="G155" s="8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83"/>
      <c r="G156" s="8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83"/>
      <c r="G157" s="8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83"/>
      <c r="G158" s="8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83"/>
      <c r="G159" s="8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83"/>
      <c r="G160" s="8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83"/>
      <c r="G161" s="8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83"/>
      <c r="G162" s="8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83"/>
      <c r="G163" s="8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83"/>
      <c r="G164" s="8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83"/>
      <c r="G165" s="8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83"/>
      <c r="G166" s="8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83"/>
      <c r="G167" s="8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83"/>
      <c r="G168" s="8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83"/>
      <c r="G169" s="8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83"/>
      <c r="G170" s="8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83"/>
      <c r="G171" s="8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83"/>
      <c r="G172" s="8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83"/>
      <c r="G173" s="8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83"/>
      <c r="G174" s="8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83"/>
      <c r="G175" s="8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83"/>
      <c r="G176" s="8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83"/>
      <c r="G177" s="8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83"/>
      <c r="G178" s="8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83"/>
      <c r="G179" s="8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83"/>
      <c r="G180" s="8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83"/>
      <c r="G181" s="8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83"/>
      <c r="G182" s="8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83"/>
      <c r="G183" s="8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83"/>
      <c r="G184" s="8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83"/>
      <c r="G185" s="8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83"/>
      <c r="G186" s="8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83"/>
      <c r="G187" s="8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83"/>
      <c r="G188" s="8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83"/>
      <c r="G189" s="8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83"/>
      <c r="G190" s="8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83"/>
      <c r="G191" s="8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83"/>
      <c r="G192" s="8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83"/>
      <c r="G193" s="8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83"/>
      <c r="G194" s="8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83"/>
      <c r="G195" s="8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83"/>
      <c r="G196" s="8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83"/>
      <c r="G197" s="8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83"/>
      <c r="G198" s="8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83"/>
      <c r="G199" s="8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83"/>
      <c r="G200" s="8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83"/>
      <c r="G201" s="8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83"/>
      <c r="G202" s="8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83"/>
      <c r="G203" s="8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83"/>
      <c r="G204" s="8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83"/>
      <c r="G205" s="8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83"/>
      <c r="G206" s="8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83"/>
      <c r="G207" s="8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83"/>
      <c r="G208" s="8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83"/>
      <c r="G209" s="8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83"/>
      <c r="G210" s="8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83"/>
      <c r="G211" s="8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83"/>
      <c r="G212" s="8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83"/>
      <c r="G213" s="8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83"/>
      <c r="G214" s="8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83"/>
      <c r="G215" s="8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83"/>
      <c r="G216" s="8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83"/>
      <c r="G217" s="8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83"/>
      <c r="G218" s="8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83"/>
      <c r="G219" s="8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83"/>
      <c r="G220" s="8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83"/>
      <c r="G221" s="8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O$41"/>
  <conditionalFormatting sqref="M7:M41">
    <cfRule type="cellIs" dxfId="0" priority="1" stopIfTrue="1" operator="between">
      <formula>6</formula>
      <formula>9</formula>
    </cfRule>
  </conditionalFormatting>
  <conditionalFormatting sqref="M7:M41">
    <cfRule type="cellIs" dxfId="1" priority="2" stopIfTrue="1" operator="between">
      <formula>3</formula>
      <formula>4</formula>
    </cfRule>
  </conditionalFormatting>
  <conditionalFormatting sqref="M7:M41">
    <cfRule type="cellIs" dxfId="2" priority="3" stopIfTrue="1" operator="between">
      <formula>1</formula>
      <formula>2</formula>
    </cfRule>
  </conditionalFormatting>
  <printOptions/>
  <pageMargins bottom="0.0" footer="0.0" header="0.0" left="0.0" right="0.0" top="0.984251968503937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2007-12-18T10:15:28Z</dcterms:created>
  <dc:creator>Sergio Concha C.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 by">
    <vt:lpwstr>140.000000000000</vt:lpwstr>
  </property>
  <property fmtid="{D5CDD505-2E9C-101B-9397-08002B2CF9AE}" pid="3" name="Order">
    <vt:lpwstr>5900.00000000000</vt:lpwstr>
  </property>
  <property fmtid="{D5CDD505-2E9C-101B-9397-08002B2CF9AE}" pid="4" name="Fase de Proyecto">
    <vt:lpwstr>;#Concepción: Planificación;#Ejecución: Seguimiento;#</vt:lpwstr>
  </property>
  <property fmtid="{D5CDD505-2E9C-101B-9397-08002B2CF9AE}" pid="5" name="Resumen">
    <vt:lpwstr>Planilla excel con el listado de riesgos, problemas y control de cambios del proyecto.</vt:lpwstr>
  </property>
  <property fmtid="{D5CDD505-2E9C-101B-9397-08002B2CF9AE}" pid="6" name="ContentType">
    <vt:lpwstr>Documento</vt:lpwstr>
  </property>
  <property fmtid="{D5CDD505-2E9C-101B-9397-08002B2CF9AE}" pid="7" name="Val">
    <vt:lpwstr>1</vt:lpwstr>
  </property>
  <property fmtid="{D5CDD505-2E9C-101B-9397-08002B2CF9AE}" pid="8" name="_Status">
    <vt:lpwstr>Published</vt:lpwstr>
  </property>
  <property fmtid="{D5CDD505-2E9C-101B-9397-08002B2CF9AE}" pid="9" name="Process">
    <vt:lpwstr>PMO</vt:lpwstr>
  </property>
  <property fmtid="{D5CDD505-2E9C-101B-9397-08002B2CF9AE}" pid="10" name="Categotys">
    <vt:lpwstr>Templates</vt:lpwstr>
  </property>
  <property fmtid="{D5CDD505-2E9C-101B-9397-08002B2CF9AE}" pid="11" name="Document type">
    <vt:lpwstr>Template</vt:lpwstr>
  </property>
</Properties>
</file>